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1" l="1"/>
</calcChain>
</file>

<file path=xl/sharedStrings.xml><?xml version="1.0" encoding="utf-8"?>
<sst xmlns="http://schemas.openxmlformats.org/spreadsheetml/2006/main" count="75" uniqueCount="74">
  <si>
    <t>Profit and Loss</t>
  </si>
  <si>
    <t>codelab303 LLC</t>
  </si>
  <si>
    <t>January 1-April 15, 2026</t>
  </si>
  <si>
    <t>Income</t>
  </si>
  <si>
    <t>Billable Expense Income</t>
  </si>
  <si>
    <t>Discounts given</t>
  </si>
  <si>
    <t>Sales</t>
  </si>
  <si>
    <t>Total for Income</t>
  </si>
  <si>
    <t>Cost of Goods Sold</t>
  </si>
  <si>
    <t>COGS - Payroll Expense</t>
  </si>
  <si>
    <t>Cost of labor - Wages</t>
  </si>
  <si>
    <t>401k Contributions</t>
  </si>
  <si>
    <t>Total for Cost of labor - Wages</t>
  </si>
  <si>
    <t>Total for COGS - Payroll Expense</t>
  </si>
  <si>
    <t>Contractors</t>
  </si>
  <si>
    <t>Design Contractors</t>
  </si>
  <si>
    <t>Engineering Contractors</t>
  </si>
  <si>
    <t>Quality Assurance</t>
  </si>
  <si>
    <t>Total for Contractors</t>
  </si>
  <si>
    <t>Essential Software</t>
  </si>
  <si>
    <t>BizOps Software &amp; Platforms</t>
  </si>
  <si>
    <t>DevOps</t>
  </si>
  <si>
    <t>Dev Tools</t>
  </si>
  <si>
    <t>Monitoring Tools</t>
  </si>
  <si>
    <t>Project Management Platforms</t>
  </si>
  <si>
    <t>QA Platforms</t>
  </si>
  <si>
    <t>Total for Essential Software</t>
  </si>
  <si>
    <t>Total for Cost of Goods Sold</t>
  </si>
  <si>
    <t>Gross Profit</t>
  </si>
  <si>
    <t>Expenses</t>
  </si>
  <si>
    <t>Accounting Services</t>
  </si>
  <si>
    <t>Advertising &amp; Marketing</t>
  </si>
  <si>
    <t>Total for Advertising &amp; Marketing</t>
  </si>
  <si>
    <t>Bank Charges &amp; Fees</t>
  </si>
  <si>
    <t>Bill Processing Fees</t>
  </si>
  <si>
    <t>Car &amp; Truck</t>
  </si>
  <si>
    <t>Hardware</t>
  </si>
  <si>
    <t>HR &amp; Staffing</t>
  </si>
  <si>
    <t>Insurance - Health, Dental, Vision</t>
  </si>
  <si>
    <t>Insurance - Liability</t>
  </si>
  <si>
    <t>Insurance - Workers Comp</t>
  </si>
  <si>
    <t>Internet Service Providers</t>
  </si>
  <si>
    <t>Legal &amp; Professional Services</t>
  </si>
  <si>
    <t>Meals &amp; Entertainment</t>
  </si>
  <si>
    <t>Mobile Data</t>
  </si>
  <si>
    <t>Office Supplies &amp; Software</t>
  </si>
  <si>
    <t>AI Platforms</t>
  </si>
  <si>
    <t>Creative &amp; Production</t>
  </si>
  <si>
    <t>Total for Office Supplies &amp; Software</t>
  </si>
  <si>
    <t>Parking &amp; Tolls</t>
  </si>
  <si>
    <t>Payroll Expenses</t>
  </si>
  <si>
    <t>Employee Wages &amp; Salaries</t>
  </si>
  <si>
    <t>Payroll Processing Fees</t>
  </si>
  <si>
    <t>Payroll Tax Expense</t>
  </si>
  <si>
    <t>Total for Payroll Expenses</t>
  </si>
  <si>
    <t>QuickBooks Payments Fees</t>
  </si>
  <si>
    <t>Rent &amp; Lease</t>
  </si>
  <si>
    <t>Repairs &amp; Maintenance</t>
  </si>
  <si>
    <t>Shipping</t>
  </si>
  <si>
    <t>Team Wellness</t>
  </si>
  <si>
    <t>Telephone Expense</t>
  </si>
  <si>
    <t>Travel</t>
  </si>
  <si>
    <t>Utilities</t>
  </si>
  <si>
    <t>Web Hosting / Cloud</t>
  </si>
  <si>
    <t>Total for Expenses</t>
  </si>
  <si>
    <t>Net Operating Income</t>
  </si>
  <si>
    <t>Other Income</t>
  </si>
  <si>
    <t>Interest Earned</t>
  </si>
  <si>
    <t>Total for Other Income</t>
  </si>
  <si>
    <t>Net Other Income</t>
  </si>
  <si>
    <t>Net Income</t>
  </si>
  <si>
    <t/>
  </si>
  <si>
    <t>Total</t>
  </si>
  <si>
    <t>Cash Basis Wednesday, April 15, 2026 09:47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</si>
</sst>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78"/>
  <sheetViews>
    <sheetView tabSelected="1" workbookViewId="0" topLeftCell="A1"/>
  </sheetViews>
  <sheetFormatPr defaultColWidth="11.255" defaultRowHeight="16"/>
  <cols>
    <col min="1" max="1" width="31.625" style="40" customWidth="1"/>
    <col min="2" max="2" width="16.125" style="40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1:2" ht="16">
      <c r="A5" s="42" t="s">
        <v>71</v>
      </c>
      <c r="B5" s="42" t="s">
        <v>72</v>
      </c>
    </row>
    <row r="6" spans="1:1" ht="16">
      <c r="A6" s="33" t="s">
        <v>3</v>
      </c>
    </row>
    <row r="7" spans="1:2" ht="16">
      <c r="A7" s="34" t="s">
        <v>4</v>
      </c>
      <c r="B7" s="43">
        <v>5088.61</v>
      </c>
    </row>
    <row r="8" spans="1:2" ht="16">
      <c r="A8" s="34" t="s">
        <v>5</v>
      </c>
      <c r="B8" s="43">
        <v>-6697.0</v>
      </c>
    </row>
    <row r="9" spans="1:2" ht="16">
      <c r="A9" s="34" t="s">
        <v>6</v>
      </c>
      <c r="B9" s="43">
        <v>388016.21</v>
      </c>
    </row>
    <row r="10" spans="1:2" ht="16">
      <c r="A10" s="35" t="s">
        <v>7</v>
      </c>
      <c r="B10" s="44">
        <f>B7+B8+B9</f>
        <v>386407.82</v>
      </c>
    </row>
    <row r="11" spans="1:1" ht="16">
      <c r="A11" s="33" t="s">
        <v>8</v>
      </c>
    </row>
    <row r="12" spans="1:2" ht="16">
      <c r="A12" s="34" t="s">
        <v>9</v>
      </c>
      <c r="B12" s="45"/>
    </row>
    <row r="13" spans="1:2" ht="16">
      <c r="A13" s="36" t="s">
        <v>10</v>
      </c>
      <c r="B13" s="43">
        <v>187410.44</v>
      </c>
    </row>
    <row r="14" spans="1:2" ht="16">
      <c r="A14" s="37" t="s">
        <v>11</v>
      </c>
      <c r="B14" s="43">
        <v>6790.14</v>
      </c>
    </row>
    <row r="15" spans="1:2" ht="16">
      <c r="A15" s="38" t="s">
        <v>12</v>
      </c>
      <c r="B15" s="44">
        <f>B13+B14</f>
        <v>194200.58000000002</v>
      </c>
    </row>
    <row r="16" spans="1:2" ht="16">
      <c r="A16" s="39" t="s">
        <v>13</v>
      </c>
      <c r="B16" s="44">
        <f>B12+B15</f>
        <v>194200.58000000002</v>
      </c>
    </row>
    <row r="17" spans="1:2" ht="16">
      <c r="A17" s="34" t="s">
        <v>14</v>
      </c>
      <c r="B17" s="43">
        <v>18800.0</v>
      </c>
    </row>
    <row r="18" spans="1:2" ht="16">
      <c r="A18" s="36" t="s">
        <v>15</v>
      </c>
      <c r="B18" s="43">
        <v>3286.25</v>
      </c>
    </row>
    <row r="19" spans="1:2" ht="16">
      <c r="A19" s="36" t="s">
        <v>16</v>
      </c>
      <c r="B19" s="43">
        <v>86661.7</v>
      </c>
    </row>
    <row r="20" spans="1:2" ht="16">
      <c r="A20" s="36" t="s">
        <v>17</v>
      </c>
      <c r="B20" s="43">
        <v>12634.4</v>
      </c>
    </row>
    <row r="21" spans="1:2" ht="16">
      <c r="A21" s="39" t="s">
        <v>18</v>
      </c>
      <c r="B21" s="44">
        <f>B17+B18+B19+B20</f>
        <v>121382.34999999999</v>
      </c>
    </row>
    <row r="22" spans="1:2" ht="16">
      <c r="A22" s="34" t="s">
        <v>19</v>
      </c>
      <c r="B22" s="43">
        <v>732.9</v>
      </c>
    </row>
    <row r="23" spans="1:2" ht="16">
      <c r="A23" s="36" t="s">
        <v>20</v>
      </c>
      <c r="B23" s="43">
        <v>1449.88</v>
      </c>
    </row>
    <row r="24" spans="1:2" ht="16">
      <c r="A24" s="36" t="s">
        <v>21</v>
      </c>
      <c r="B24" s="43">
        <v>2236.0</v>
      </c>
    </row>
    <row r="25" spans="1:2" ht="16">
      <c r="A25" s="36" t="s">
        <v>22</v>
      </c>
      <c r="B25" s="43">
        <v>305.0</v>
      </c>
    </row>
    <row r="26" spans="1:2" ht="16">
      <c r="A26" s="36" t="s">
        <v>23</v>
      </c>
      <c r="B26" s="43">
        <v>105.0</v>
      </c>
    </row>
    <row r="27" spans="1:2" ht="16">
      <c r="A27" s="36" t="s">
        <v>24</v>
      </c>
      <c r="B27" s="43">
        <v>1271.96</v>
      </c>
    </row>
    <row r="28" spans="1:2" ht="16">
      <c r="A28" s="36" t="s">
        <v>25</v>
      </c>
      <c r="B28" s="43">
        <v>384.0</v>
      </c>
    </row>
    <row r="29" spans="1:2" ht="16">
      <c r="A29" s="39" t="s">
        <v>26</v>
      </c>
      <c r="B29" s="44">
        <f>B22+B23+B24+B25+B26+B27+B28</f>
        <v>6484.740000000001</v>
      </c>
    </row>
    <row r="30" spans="1:2" ht="16">
      <c r="A30" s="35" t="s">
        <v>27</v>
      </c>
      <c r="B30" s="44">
        <f>B16+B21+B29</f>
        <v>322067.67</v>
      </c>
    </row>
    <row r="31" spans="1:2" ht="16">
      <c r="A31" s="35" t="s">
        <v>28</v>
      </c>
      <c r="B31" s="44">
        <f>B10-B30</f>
        <v>64340.15000000002</v>
      </c>
    </row>
    <row r="32" spans="1:1" ht="16">
      <c r="A32" s="33" t="s">
        <v>29</v>
      </c>
    </row>
    <row r="33" spans="1:2" ht="16">
      <c r="A33" s="34" t="s">
        <v>30</v>
      </c>
      <c r="B33" s="43">
        <v>1790.0</v>
      </c>
    </row>
    <row r="34" spans="1:2" ht="16">
      <c r="A34" s="34" t="s">
        <v>31</v>
      </c>
      <c r="B34" s="43">
        <v>1215.84</v>
      </c>
    </row>
    <row r="35" spans="1:2" ht="16">
      <c r="A35" s="36" t="s">
        <v>14</v>
      </c>
      <c r="B35" s="43">
        <v>4865.2</v>
      </c>
    </row>
    <row r="36" spans="1:2" ht="16">
      <c r="A36" s="39" t="s">
        <v>32</v>
      </c>
      <c r="B36" s="44">
        <f>B34+B35</f>
        <v>6081.04</v>
      </c>
    </row>
    <row r="37" spans="1:2" ht="16">
      <c r="A37" s="34" t="s">
        <v>33</v>
      </c>
      <c r="B37" s="43">
        <v>1541.56</v>
      </c>
    </row>
    <row r="38" spans="1:2" ht="16">
      <c r="A38" s="34" t="s">
        <v>34</v>
      </c>
      <c r="B38" s="43">
        <v>1114.47</v>
      </c>
    </row>
    <row r="39" spans="1:2" ht="16">
      <c r="A39" s="34" t="s">
        <v>35</v>
      </c>
      <c r="B39" s="43">
        <v>619.97</v>
      </c>
    </row>
    <row r="40" spans="1:2" ht="16">
      <c r="A40" s="34" t="s">
        <v>36</v>
      </c>
      <c r="B40" s="43">
        <v>76.35</v>
      </c>
    </row>
    <row r="41" spans="1:2" ht="16">
      <c r="A41" s="34" t="s">
        <v>37</v>
      </c>
      <c r="B41" s="43">
        <v>753.35</v>
      </c>
    </row>
    <row r="42" spans="1:2" ht="16">
      <c r="A42" s="34" t="s">
        <v>38</v>
      </c>
      <c r="B42" s="43">
        <v>22148.06</v>
      </c>
    </row>
    <row r="43" spans="1:2" ht="16">
      <c r="A43" s="34" t="s">
        <v>39</v>
      </c>
      <c r="B43" s="43">
        <v>1405.72</v>
      </c>
    </row>
    <row r="44" spans="1:2" ht="16">
      <c r="A44" s="34" t="s">
        <v>40</v>
      </c>
      <c r="B44" s="43">
        <v>106.66</v>
      </c>
    </row>
    <row r="45" spans="1:2" ht="16">
      <c r="A45" s="34" t="s">
        <v>41</v>
      </c>
      <c r="B45" s="43">
        <v>632.27</v>
      </c>
    </row>
    <row r="46" spans="1:2" ht="16">
      <c r="A46" s="34" t="s">
        <v>42</v>
      </c>
      <c r="B46" s="43">
        <v>2740.45</v>
      </c>
    </row>
    <row r="47" spans="1:2" ht="16">
      <c r="A47" s="34" t="s">
        <v>43</v>
      </c>
      <c r="B47" s="43">
        <v>3591.93</v>
      </c>
    </row>
    <row r="48" spans="1:2" ht="16">
      <c r="A48" s="34" t="s">
        <v>44</v>
      </c>
      <c r="B48" s="43">
        <v>142.64</v>
      </c>
    </row>
    <row r="49" spans="1:2" ht="16">
      <c r="A49" s="34" t="s">
        <v>45</v>
      </c>
      <c r="B49" s="43">
        <v>2766.81</v>
      </c>
    </row>
    <row r="50" spans="1:2" ht="16">
      <c r="A50" s="36" t="s">
        <v>46</v>
      </c>
      <c r="B50" s="43">
        <v>1251.98</v>
      </c>
    </row>
    <row r="51" spans="1:2" ht="16">
      <c r="A51" s="36" t="s">
        <v>47</v>
      </c>
      <c r="B51" s="43">
        <v>2727.89</v>
      </c>
    </row>
    <row r="52" spans="1:2" ht="16">
      <c r="A52" s="39" t="s">
        <v>48</v>
      </c>
      <c r="B52" s="44">
        <f>B49+B50+B51</f>
        <v>6746.68</v>
      </c>
    </row>
    <row r="53" spans="1:2" ht="16">
      <c r="A53" s="34" t="s">
        <v>49</v>
      </c>
      <c r="B53" s="43">
        <v>377.81</v>
      </c>
    </row>
    <row r="54" spans="1:2" ht="16">
      <c r="A54" s="34" t="s">
        <v>50</v>
      </c>
      <c r="B54" s="45"/>
    </row>
    <row r="55" spans="1:2" ht="16">
      <c r="A55" s="36" t="s">
        <v>51</v>
      </c>
      <c r="B55" s="43">
        <v>17984.96</v>
      </c>
    </row>
    <row r="56" spans="1:2" ht="16">
      <c r="A56" s="36" t="s">
        <v>52</v>
      </c>
      <c r="B56" s="43">
        <v>580.0</v>
      </c>
    </row>
    <row r="57" spans="1:2" ht="16">
      <c r="A57" s="36" t="s">
        <v>53</v>
      </c>
      <c r="B57" s="43">
        <v>22229.85</v>
      </c>
    </row>
    <row r="58" spans="1:2" ht="16">
      <c r="A58" s="39" t="s">
        <v>54</v>
      </c>
      <c r="B58" s="44">
        <f>B54+B55+B56+B57</f>
        <v>40794.81</v>
      </c>
    </row>
    <row r="59" spans="1:2" ht="16">
      <c r="A59" s="34" t="s">
        <v>55</v>
      </c>
      <c r="B59" s="43">
        <v>80.0</v>
      </c>
    </row>
    <row r="60" spans="1:2" ht="16">
      <c r="A60" s="34" t="s">
        <v>56</v>
      </c>
      <c r="B60" s="43">
        <v>11750.14</v>
      </c>
    </row>
    <row r="61" spans="1:2" ht="16">
      <c r="A61" s="34" t="s">
        <v>57</v>
      </c>
      <c r="B61" s="43">
        <v>400.0</v>
      </c>
    </row>
    <row r="62" spans="1:2" ht="16">
      <c r="A62" s="34" t="s">
        <v>58</v>
      </c>
      <c r="B62" s="43">
        <v>16.75</v>
      </c>
    </row>
    <row r="63" spans="1:2" ht="16">
      <c r="A63" s="34" t="s">
        <v>59</v>
      </c>
      <c r="B63" s="43">
        <v>510.0</v>
      </c>
    </row>
    <row r="64" spans="1:2" ht="16">
      <c r="A64" s="34" t="s">
        <v>60</v>
      </c>
      <c r="B64" s="43">
        <v>404.21</v>
      </c>
    </row>
    <row r="65" spans="1:2" ht="16">
      <c r="A65" s="34" t="s">
        <v>61</v>
      </c>
      <c r="B65" s="43">
        <v>20802.39</v>
      </c>
    </row>
    <row r="66" spans="1:2" ht="16">
      <c r="A66" s="34" t="s">
        <v>62</v>
      </c>
      <c r="B66" s="43">
        <v>176.98</v>
      </c>
    </row>
    <row r="67" spans="1:2" ht="16">
      <c r="A67" s="34" t="s">
        <v>63</v>
      </c>
      <c r="B67" s="43">
        <v>5607.24</v>
      </c>
    </row>
    <row r="68" spans="1:2" ht="16">
      <c r="A68" s="35" t="s">
        <v>64</v>
      </c>
      <c r="B68" s="44">
        <f>B33+B36+B37+B38+B39+B40+B41+B42+B43+B44+B45+B46+B47+B48+B52+B53+B58+B59+B60+B61+B62+B63+B64+B65+B66+B67</f>
        <v>130411.48</v>
      </c>
    </row>
    <row r="69" spans="1:2" ht="16">
      <c r="A69" s="35" t="s">
        <v>65</v>
      </c>
      <c r="B69" s="44">
        <f>B31-B68</f>
        <v>-66071.32999999997</v>
      </c>
    </row>
    <row r="70" spans="1:1" ht="16">
      <c r="A70" s="33" t="s">
        <v>66</v>
      </c>
    </row>
    <row r="71" spans="1:2" ht="16">
      <c r="A71" s="34" t="s">
        <v>67</v>
      </c>
      <c r="B71" s="43">
        <v>0.51</v>
      </c>
    </row>
    <row r="72" spans="1:2" ht="16">
      <c r="A72" s="35" t="s">
        <v>68</v>
      </c>
      <c r="B72" s="44">
        <f>B71</f>
        <v>0.51</v>
      </c>
    </row>
    <row r="73" spans="1:2" ht="16">
      <c r="A73" s="35" t="s">
        <v>69</v>
      </c>
      <c r="B73" s="46">
        <v>0.51</v>
      </c>
    </row>
    <row r="74" spans="1:2" ht="16">
      <c r="A74" s="35" t="s">
        <v>70</v>
      </c>
      <c r="B74" s="44">
        <v>-66070.81999999998</v>
      </c>
    </row>
    <row r="78" spans="1:1" ht="16">
      <c r="A78" s="47" t="s">
        <v>73</v>
      </c>
    </row>
  </sheetData>
  <mergeCells count="4">
    <mergeCell ref="A1:B1"/>
    <mergeCell ref="A2:B2"/>
    <mergeCell ref="A3:B3"/>
    <mergeCell ref="A78:B7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