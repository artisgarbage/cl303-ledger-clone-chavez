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3" i="1" l="1"/>
</calcChain>
</file>

<file path=xl/sharedStrings.xml><?xml version="1.0" encoding="utf-8"?>
<sst xmlns="http://schemas.openxmlformats.org/spreadsheetml/2006/main" count="86" uniqueCount="86">
  <si>
    <t>Profit and Loss</t>
  </si>
  <si>
    <t>codelab303 LLC</t>
  </si>
  <si>
    <t>January 1-December 31, 2024</t>
  </si>
  <si>
    <t>Income</t>
  </si>
  <si>
    <t>Billable Expense Income</t>
  </si>
  <si>
    <t>Discounts given</t>
  </si>
  <si>
    <t>Discounts/Refunds Given</t>
  </si>
  <si>
    <t>Sales</t>
  </si>
  <si>
    <t>Unapplied Cash Payment Income</t>
  </si>
  <si>
    <t>Total for Income</t>
  </si>
  <si>
    <t>Cost of Goods Sold</t>
  </si>
  <si>
    <t>COGS - Payroll Expense</t>
  </si>
  <si>
    <t>Cost of labor - Wages</t>
  </si>
  <si>
    <t>Total for COGS - Payroll Expense</t>
  </si>
  <si>
    <t>Contractors</t>
  </si>
  <si>
    <t>Biz Dev Contractors</t>
  </si>
  <si>
    <t>Design Contractors</t>
  </si>
  <si>
    <t>Engineering Contractors</t>
  </si>
  <si>
    <t>Total for Contractors</t>
  </si>
  <si>
    <t>Essential Software</t>
  </si>
  <si>
    <t>BizOps Software &amp; Platforms</t>
  </si>
  <si>
    <t>DevOps</t>
  </si>
  <si>
    <t>Dev Tools</t>
  </si>
  <si>
    <t>Monitoring Tools</t>
  </si>
  <si>
    <t>Project Management Platforms</t>
  </si>
  <si>
    <t>QA Platforms</t>
  </si>
  <si>
    <t>Security Platforms &amp; Services</t>
  </si>
  <si>
    <t>Total for Essential Software</t>
  </si>
  <si>
    <t>Total for Cost of Goods Sold</t>
  </si>
  <si>
    <t>Gross Profit</t>
  </si>
  <si>
    <t>Expenses</t>
  </si>
  <si>
    <t>Accounting Services</t>
  </si>
  <si>
    <t>Advertising &amp; Marketing</t>
  </si>
  <si>
    <t>App Store Fees</t>
  </si>
  <si>
    <t>Ask My Accountant</t>
  </si>
  <si>
    <t>Bank Charges &amp; Fees</t>
  </si>
  <si>
    <t>Bill Processing Fees</t>
  </si>
  <si>
    <t>Car &amp; Truck</t>
  </si>
  <si>
    <t>Charitable Contributions</t>
  </si>
  <si>
    <t>Conferences</t>
  </si>
  <si>
    <t>Depreciation Expense</t>
  </si>
  <si>
    <t>Design Services</t>
  </si>
  <si>
    <t>Hardware</t>
  </si>
  <si>
    <t>HR &amp; Staffing</t>
  </si>
  <si>
    <t>Insurance - Health, Dental, Vision</t>
  </si>
  <si>
    <t>Insurance - Liability</t>
  </si>
  <si>
    <t>Insurance - Workers Comp</t>
  </si>
  <si>
    <t>Internet Service Providers</t>
  </si>
  <si>
    <t>Job Supplies</t>
  </si>
  <si>
    <t>Legal &amp; Professional Services</t>
  </si>
  <si>
    <t>Meals &amp; Entertainment</t>
  </si>
  <si>
    <t>Mobile Data</t>
  </si>
  <si>
    <t>Office Furniture</t>
  </si>
  <si>
    <t>Office Supplies &amp; Software</t>
  </si>
  <si>
    <t>AI Platforms</t>
  </si>
  <si>
    <t>Creative &amp; Production</t>
  </si>
  <si>
    <t>Total for Office Supplies &amp; Software</t>
  </si>
  <si>
    <t>Other Business Expenses</t>
  </si>
  <si>
    <t>Parking &amp; Tolls</t>
  </si>
  <si>
    <t>Payroll Expenses</t>
  </si>
  <si>
    <t>Employee Wages &amp; Salaries</t>
  </si>
  <si>
    <t>Payroll Processing Fees</t>
  </si>
  <si>
    <t>Payroll Tax Expense</t>
  </si>
  <si>
    <t>Total for Payroll Expenses</t>
  </si>
  <si>
    <t>Promotional Gifts</t>
  </si>
  <si>
    <t>QuickBooks Payments Fees</t>
  </si>
  <si>
    <t>Rent &amp; Lease</t>
  </si>
  <si>
    <t>Repairs &amp; Maintenance</t>
  </si>
  <si>
    <t>Research Tools &amp; Services</t>
  </si>
  <si>
    <t>Telephone Expense</t>
  </si>
  <si>
    <t>Travel</t>
  </si>
  <si>
    <t>Unapplied Cash Bill Payment Expense</t>
  </si>
  <si>
    <t>Uncategorized Expense</t>
  </si>
  <si>
    <t>Utilities</t>
  </si>
  <si>
    <t>VoIP / Video / Teleconferencing</t>
  </si>
  <si>
    <t>Web Hosting / Cloud</t>
  </si>
  <si>
    <t>Total for Expenses</t>
  </si>
  <si>
    <t>Net Operating Income</t>
  </si>
  <si>
    <t>Other Income</t>
  </si>
  <si>
    <t>Interest Earned</t>
  </si>
  <si>
    <t>Total for Other Income</t>
  </si>
  <si>
    <t>Net Other Income</t>
  </si>
  <si>
    <t>Net Income</t>
  </si>
  <si>
    <t/>
  </si>
  <si>
    <t>Total</t>
  </si>
  <si>
    <t>Cash Basis Wednesday, April 15, 2026 09:49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</si>
</sst>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3" fillId="0" borderId="0" xfId="0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4" fillId="0" borderId="3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177" fontId="4" fillId="0" borderId="3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89"/>
  <sheetViews>
    <sheetView tabSelected="1" workbookViewId="0" topLeftCell="A1"/>
  </sheetViews>
  <sheetFormatPr defaultColWidth="11.255" defaultRowHeight="16"/>
  <cols>
    <col min="1" max="1" width="31.625" style="34" customWidth="1"/>
    <col min="2" max="2" width="16.125" style="34" customWidth="1"/>
  </cols>
  <sheetData>
    <row r="1" spans="1:1" ht="16">
      <c r="A1" s="25" t="s">
        <v>0</v>
      </c>
    </row>
    <row r="2" spans="1:1" ht="16">
      <c r="A2" s="26" t="s">
        <v>1</v>
      </c>
    </row>
    <row r="3" spans="1:1" ht="16">
      <c r="A3" s="27" t="s">
        <v>2</v>
      </c>
    </row>
    <row r="5" spans="1:2" ht="16">
      <c r="A5" s="36" t="s">
        <v>83</v>
      </c>
      <c r="B5" s="36" t="s">
        <v>84</v>
      </c>
    </row>
    <row r="6" spans="1:1" ht="16">
      <c r="A6" s="29" t="s">
        <v>3</v>
      </c>
    </row>
    <row r="7" spans="1:2" ht="16">
      <c r="A7" s="30" t="s">
        <v>4</v>
      </c>
      <c r="B7" s="37">
        <v>19219.56</v>
      </c>
    </row>
    <row r="8" spans="1:2" ht="16">
      <c r="A8" s="30" t="s">
        <v>5</v>
      </c>
      <c r="B8" s="37">
        <v>-8850.02</v>
      </c>
    </row>
    <row r="9" spans="1:2" ht="16">
      <c r="A9" s="30" t="s">
        <v>6</v>
      </c>
      <c r="B9" s="37">
        <v>-33212.6</v>
      </c>
    </row>
    <row r="10" spans="1:2" ht="16">
      <c r="A10" s="30" t="s">
        <v>7</v>
      </c>
      <c r="B10" s="37">
        <v>1798288.37</v>
      </c>
    </row>
    <row r="11" spans="1:2" ht="16">
      <c r="A11" s="30" t="s">
        <v>8</v>
      </c>
      <c r="B11" s="37">
        <v>36316.03</v>
      </c>
    </row>
    <row r="12" spans="1:2" ht="16">
      <c r="A12" s="31" t="s">
        <v>9</v>
      </c>
      <c r="B12" s="38">
        <f>B7+B8+B9+B10+B11</f>
        <v>1811761.34</v>
      </c>
    </row>
    <row r="13" spans="1:1" ht="16">
      <c r="A13" s="29" t="s">
        <v>10</v>
      </c>
    </row>
    <row r="14" spans="1:2" ht="16">
      <c r="A14" s="30" t="s">
        <v>11</v>
      </c>
      <c r="B14" s="39"/>
    </row>
    <row r="15" spans="1:2" ht="16">
      <c r="A15" s="32" t="s">
        <v>12</v>
      </c>
      <c r="B15" s="37">
        <v>436598.93</v>
      </c>
    </row>
    <row r="16" spans="1:2" ht="16">
      <c r="A16" s="33" t="s">
        <v>13</v>
      </c>
      <c r="B16" s="38">
        <f>B14+B15</f>
        <v>436598.93</v>
      </c>
    </row>
    <row r="17" spans="1:2" ht="16">
      <c r="A17" s="30" t="s">
        <v>14</v>
      </c>
      <c r="B17" s="37">
        <v>549260.24</v>
      </c>
    </row>
    <row r="18" spans="1:2" ht="16">
      <c r="A18" s="32" t="s">
        <v>15</v>
      </c>
      <c r="B18" s="37">
        <v>15694.47</v>
      </c>
    </row>
    <row r="19" spans="1:2" ht="16">
      <c r="A19" s="32" t="s">
        <v>16</v>
      </c>
      <c r="B19" s="37">
        <v>73733.75</v>
      </c>
    </row>
    <row r="20" spans="1:2" ht="16">
      <c r="A20" s="32" t="s">
        <v>17</v>
      </c>
      <c r="B20" s="37">
        <v>73456.0</v>
      </c>
    </row>
    <row r="21" spans="1:2" ht="16">
      <c r="A21" s="33" t="s">
        <v>18</v>
      </c>
      <c r="B21" s="38">
        <f>B17+B18+B19+B20</f>
        <v>712144.46</v>
      </c>
    </row>
    <row r="22" spans="1:2" ht="16">
      <c r="A22" s="30" t="s">
        <v>19</v>
      </c>
      <c r="B22" s="39"/>
    </row>
    <row r="23" spans="1:2" ht="16">
      <c r="A23" s="32" t="s">
        <v>20</v>
      </c>
      <c r="B23" s="37">
        <v>7875.25</v>
      </c>
    </row>
    <row r="24" spans="1:2" ht="16">
      <c r="A24" s="32" t="s">
        <v>21</v>
      </c>
      <c r="B24" s="37">
        <v>2709.23</v>
      </c>
    </row>
    <row r="25" spans="1:2" ht="16">
      <c r="A25" s="32" t="s">
        <v>22</v>
      </c>
      <c r="B25" s="37">
        <v>950.0</v>
      </c>
    </row>
    <row r="26" spans="1:2" ht="16">
      <c r="A26" s="32" t="s">
        <v>23</v>
      </c>
      <c r="B26" s="37">
        <v>257.0</v>
      </c>
    </row>
    <row r="27" spans="1:2" ht="16">
      <c r="A27" s="32" t="s">
        <v>24</v>
      </c>
      <c r="B27" s="37">
        <v>8315.23</v>
      </c>
    </row>
    <row r="28" spans="1:2" ht="16">
      <c r="A28" s="32" t="s">
        <v>25</v>
      </c>
      <c r="B28" s="37">
        <v>1011.82</v>
      </c>
    </row>
    <row r="29" spans="1:2" ht="16">
      <c r="A29" s="32" t="s">
        <v>26</v>
      </c>
      <c r="B29" s="37">
        <v>449.55</v>
      </c>
    </row>
    <row r="30" spans="1:2" ht="16">
      <c r="A30" s="33" t="s">
        <v>27</v>
      </c>
      <c r="B30" s="38">
        <f>B22+B23+B24+B25+B26+B27+B28+B29</f>
        <v>21568.079999999998</v>
      </c>
    </row>
    <row r="31" spans="1:2" ht="16">
      <c r="A31" s="31" t="s">
        <v>28</v>
      </c>
      <c r="B31" s="38">
        <f>B16+B21+B30</f>
        <v>1170311.47</v>
      </c>
    </row>
    <row r="32" spans="1:2" ht="16">
      <c r="A32" s="31" t="s">
        <v>29</v>
      </c>
      <c r="B32" s="38">
        <f>B12-B31</f>
        <v>641449.8700000001</v>
      </c>
    </row>
    <row r="33" spans="1:1" ht="16">
      <c r="A33" s="29" t="s">
        <v>30</v>
      </c>
    </row>
    <row r="34" spans="1:2" ht="16">
      <c r="A34" s="30" t="s">
        <v>31</v>
      </c>
      <c r="B34" s="37">
        <v>137.5</v>
      </c>
    </row>
    <row r="35" spans="1:2" ht="16">
      <c r="A35" s="30" t="s">
        <v>32</v>
      </c>
      <c r="B35" s="37">
        <v>3650.7</v>
      </c>
    </row>
    <row r="36" spans="1:2" ht="16">
      <c r="A36" s="30" t="s">
        <v>33</v>
      </c>
      <c r="B36" s="37">
        <v>70.86</v>
      </c>
    </row>
    <row r="37" spans="1:2" ht="16">
      <c r="A37" s="30" t="s">
        <v>34</v>
      </c>
      <c r="B37" s="37">
        <v>104.0</v>
      </c>
    </row>
    <row r="38" spans="1:2" ht="16">
      <c r="A38" s="30" t="s">
        <v>35</v>
      </c>
      <c r="B38" s="37">
        <v>957.0</v>
      </c>
    </row>
    <row r="39" spans="1:2" ht="16">
      <c r="A39" s="30" t="s">
        <v>36</v>
      </c>
      <c r="B39" s="37">
        <v>3839.76</v>
      </c>
    </row>
    <row r="40" spans="1:2" ht="16">
      <c r="A40" s="30" t="s">
        <v>37</v>
      </c>
      <c r="B40" s="37">
        <v>7.79</v>
      </c>
    </row>
    <row r="41" spans="1:2" ht="16">
      <c r="A41" s="30" t="s">
        <v>38</v>
      </c>
      <c r="B41" s="37">
        <v>550.0</v>
      </c>
    </row>
    <row r="42" spans="1:2" ht="16">
      <c r="A42" s="30" t="s">
        <v>39</v>
      </c>
      <c r="B42" s="37">
        <v>149.0</v>
      </c>
    </row>
    <row r="43" spans="1:2" ht="16">
      <c r="A43" s="30" t="s">
        <v>40</v>
      </c>
      <c r="B43" s="37">
        <v>1421.0</v>
      </c>
    </row>
    <row r="44" spans="1:2" ht="16">
      <c r="A44" s="30" t="s">
        <v>41</v>
      </c>
      <c r="B44" s="37">
        <v>196.2</v>
      </c>
    </row>
    <row r="45" spans="1:2" ht="16">
      <c r="A45" s="30" t="s">
        <v>42</v>
      </c>
      <c r="B45" s="37">
        <v>2770.25</v>
      </c>
    </row>
    <row r="46" spans="1:2" ht="16">
      <c r="A46" s="30" t="s">
        <v>43</v>
      </c>
      <c r="B46" s="37">
        <v>475.02</v>
      </c>
    </row>
    <row r="47" spans="1:2" ht="16">
      <c r="A47" s="30" t="s">
        <v>44</v>
      </c>
      <c r="B47" s="37">
        <v>66903.82</v>
      </c>
    </row>
    <row r="48" spans="1:2" ht="16">
      <c r="A48" s="30" t="s">
        <v>45</v>
      </c>
      <c r="B48" s="37">
        <v>2260.0</v>
      </c>
    </row>
    <row r="49" spans="1:2" ht="16">
      <c r="A49" s="30" t="s">
        <v>46</v>
      </c>
      <c r="B49" s="37">
        <v>428.28</v>
      </c>
    </row>
    <row r="50" spans="1:2" ht="16">
      <c r="A50" s="30" t="s">
        <v>47</v>
      </c>
      <c r="B50" s="37">
        <v>975.0</v>
      </c>
    </row>
    <row r="51" spans="1:2" ht="16">
      <c r="A51" s="30" t="s">
        <v>48</v>
      </c>
      <c r="B51" s="37">
        <v>228.07</v>
      </c>
    </row>
    <row r="52" spans="1:2" ht="16">
      <c r="A52" s="30" t="s">
        <v>49</v>
      </c>
      <c r="B52" s="37">
        <v>2554.18</v>
      </c>
    </row>
    <row r="53" spans="1:2" ht="16">
      <c r="A53" s="30" t="s">
        <v>50</v>
      </c>
      <c r="B53" s="37">
        <v>15266.57</v>
      </c>
    </row>
    <row r="54" spans="1:2" ht="16">
      <c r="A54" s="30" t="s">
        <v>51</v>
      </c>
      <c r="B54" s="37">
        <v>681.83</v>
      </c>
    </row>
    <row r="55" spans="1:2" ht="16">
      <c r="A55" s="30" t="s">
        <v>52</v>
      </c>
      <c r="B55" s="37">
        <v>11606.55</v>
      </c>
    </row>
    <row r="56" spans="1:2" ht="16">
      <c r="A56" s="30" t="s">
        <v>53</v>
      </c>
      <c r="B56" s="37">
        <v>13766.34</v>
      </c>
    </row>
    <row r="57" spans="1:2" ht="16">
      <c r="A57" s="32" t="s">
        <v>54</v>
      </c>
      <c r="B57" s="37">
        <v>90.0</v>
      </c>
    </row>
    <row r="58" spans="1:2" ht="16">
      <c r="A58" s="32" t="s">
        <v>55</v>
      </c>
      <c r="B58" s="37">
        <v>4512.46</v>
      </c>
    </row>
    <row r="59" spans="1:2" ht="16">
      <c r="A59" s="33" t="s">
        <v>56</v>
      </c>
      <c r="B59" s="38">
        <f>B56+B57+B58</f>
        <v>18368.8</v>
      </c>
    </row>
    <row r="60" spans="1:2" ht="16">
      <c r="A60" s="30" t="s">
        <v>57</v>
      </c>
      <c r="B60" s="37">
        <v>303.0</v>
      </c>
    </row>
    <row r="61" spans="1:2" ht="16">
      <c r="A61" s="30" t="s">
        <v>58</v>
      </c>
      <c r="B61" s="37">
        <v>814.85</v>
      </c>
    </row>
    <row r="62" spans="1:2" ht="16">
      <c r="A62" s="30" t="s">
        <v>59</v>
      </c>
      <c r="B62" s="37">
        <v>140.0</v>
      </c>
    </row>
    <row r="63" spans="1:2" ht="16">
      <c r="A63" s="32" t="s">
        <v>60</v>
      </c>
      <c r="B63" s="37">
        <v>160637.3</v>
      </c>
    </row>
    <row r="64" spans="1:2" ht="16">
      <c r="A64" s="32" t="s">
        <v>61</v>
      </c>
      <c r="B64" s="37">
        <v>1031.56</v>
      </c>
    </row>
    <row r="65" spans="1:2" ht="16">
      <c r="A65" s="32" t="s">
        <v>62</v>
      </c>
      <c r="B65" s="37">
        <v>48740.97</v>
      </c>
    </row>
    <row r="66" spans="1:2" ht="16">
      <c r="A66" s="33" t="s">
        <v>63</v>
      </c>
      <c r="B66" s="38">
        <f>B62+B63+B64+B65</f>
        <v>210549.83</v>
      </c>
    </row>
    <row r="67" spans="1:2" ht="16">
      <c r="A67" s="30" t="s">
        <v>64</v>
      </c>
      <c r="B67" s="37">
        <v>702.68</v>
      </c>
    </row>
    <row r="68" spans="1:2" ht="16">
      <c r="A68" s="30" t="s">
        <v>65</v>
      </c>
      <c r="B68" s="37">
        <v>83.23</v>
      </c>
    </row>
    <row r="69" spans="1:2" ht="16">
      <c r="A69" s="30" t="s">
        <v>66</v>
      </c>
      <c r="B69" s="37">
        <v>37998.84</v>
      </c>
    </row>
    <row r="70" spans="1:2" ht="16">
      <c r="A70" s="30" t="s">
        <v>67</v>
      </c>
      <c r="B70" s="37">
        <v>500.0</v>
      </c>
    </row>
    <row r="71" spans="1:2" ht="16">
      <c r="A71" s="30" t="s">
        <v>68</v>
      </c>
      <c r="B71" s="37">
        <v>900.0</v>
      </c>
    </row>
    <row r="72" spans="1:2" ht="16">
      <c r="A72" s="30" t="s">
        <v>69</v>
      </c>
      <c r="B72" s="37">
        <v>927.84</v>
      </c>
    </row>
    <row r="73" spans="1:2" ht="16">
      <c r="A73" s="30" t="s">
        <v>70</v>
      </c>
      <c r="B73" s="37">
        <v>69349.29</v>
      </c>
    </row>
    <row r="74" spans="1:2" ht="16">
      <c r="A74" s="30" t="s">
        <v>71</v>
      </c>
      <c r="B74" s="37">
        <v>0</v>
      </c>
    </row>
    <row r="75" spans="1:2" ht="16">
      <c r="A75" s="30" t="s">
        <v>72</v>
      </c>
      <c r="B75" s="37">
        <v>7.34</v>
      </c>
    </row>
    <row r="76" spans="1:2" ht="16">
      <c r="A76" s="30" t="s">
        <v>73</v>
      </c>
      <c r="B76" s="37">
        <v>891.55</v>
      </c>
    </row>
    <row r="77" spans="1:2" ht="16">
      <c r="A77" s="30" t="s">
        <v>74</v>
      </c>
      <c r="B77" s="37">
        <v>313.86</v>
      </c>
    </row>
    <row r="78" spans="1:2" ht="16">
      <c r="A78" s="30" t="s">
        <v>75</v>
      </c>
      <c r="B78" s="37">
        <v>11419.22</v>
      </c>
    </row>
    <row r="79" spans="1:2" ht="16">
      <c r="A79" s="31" t="s">
        <v>76</v>
      </c>
      <c r="B79" s="38">
        <f>B34+B35+B36+B37+B38+B39+B40+B41+B42+B43+B44+B45+B46+B47+B48+B49+B50+B51+B52+B53+B54+B55+B59+B60+B61+B66+B67+B68+B69+B70+B71+B72+B73+B74+B75+B76+B77+B78</f>
        <v>468363.70999999996</v>
      </c>
    </row>
    <row r="80" spans="1:2" ht="16">
      <c r="A80" s="31" t="s">
        <v>77</v>
      </c>
      <c r="B80" s="38">
        <f>B32-B79</f>
        <v>173086.16000000015</v>
      </c>
    </row>
    <row r="81" spans="1:1" ht="16">
      <c r="A81" s="29" t="s">
        <v>78</v>
      </c>
    </row>
    <row r="82" spans="1:2" ht="16">
      <c r="A82" s="30" t="s">
        <v>79</v>
      </c>
      <c r="B82" s="37">
        <v>1.28</v>
      </c>
    </row>
    <row r="83" spans="1:2" ht="16">
      <c r="A83" s="31" t="s">
        <v>80</v>
      </c>
      <c r="B83" s="38">
        <f>B82</f>
        <v>1.28</v>
      </c>
    </row>
    <row r="84" spans="1:2" ht="16">
      <c r="A84" s="31" t="s">
        <v>81</v>
      </c>
      <c r="B84" s="40">
        <v>1.28</v>
      </c>
    </row>
    <row r="85" spans="1:2" ht="16">
      <c r="A85" s="31" t="s">
        <v>82</v>
      </c>
      <c r="B85" s="38">
        <v>173087.44000000015</v>
      </c>
    </row>
    <row r="89" spans="1:1" ht="16">
      <c r="A89" s="41" t="s">
        <v>85</v>
      </c>
    </row>
  </sheetData>
  <mergeCells count="4">
    <mergeCell ref="A1:B1"/>
    <mergeCell ref="A2:B2"/>
    <mergeCell ref="A3:B3"/>
    <mergeCell ref="A89:B8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