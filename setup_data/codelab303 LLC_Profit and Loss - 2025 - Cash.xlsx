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kumar97/dev/teps/app/src/test/resources/CrbReportsPlugin/Template/"/>
    </mc:Choice>
  </mc:AlternateContent>
  <bookViews>
    <workbookView xWindow="3880" yWindow="2200" windowWidth="28040" windowHeight="17440" activeTab="0"/>
  </bookViews>
  <sheets>
    <sheet name="Sheet1" sheetId="1" r:id="rId2"/>
  </sheets>
  <definedNames/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4" i="1" l="1"/>
</calcChain>
</file>

<file path=xl/sharedStrings.xml><?xml version="1.0" encoding="utf-8"?>
<sst xmlns="http://schemas.openxmlformats.org/spreadsheetml/2006/main" count="85" uniqueCount="84">
  <si>
    <t>Profit and Loss</t>
  </si>
  <si>
    <t>codelab303 LLC</t>
  </si>
  <si>
    <t>January-December, 2025</t>
  </si>
  <si>
    <t>Income</t>
  </si>
  <si>
    <t>Billable Expense Income</t>
  </si>
  <si>
    <t>Sales</t>
  </si>
  <si>
    <t>Unapplied Cash Payment Income</t>
  </si>
  <si>
    <t>Total for Income</t>
  </si>
  <si>
    <t>Cost of Goods Sold</t>
  </si>
  <si>
    <t>COGS - Payroll Expense</t>
  </si>
  <si>
    <t>Cost of labor - Wages</t>
  </si>
  <si>
    <t>401k Contributions</t>
  </si>
  <si>
    <t>Total for Cost of labor - Wages</t>
  </si>
  <si>
    <t>Total for COGS - Payroll Expense</t>
  </si>
  <si>
    <t>Contractors</t>
  </si>
  <si>
    <t>Biz Dev Contractors</t>
  </si>
  <si>
    <t>Design Contractors</t>
  </si>
  <si>
    <t>Engineering Contractors</t>
  </si>
  <si>
    <t>Quality Assurance</t>
  </si>
  <si>
    <t>Total for Contractors</t>
  </si>
  <si>
    <t>Essential Software</t>
  </si>
  <si>
    <t>BizOps Software &amp; Platforms</t>
  </si>
  <si>
    <t>DevOps</t>
  </si>
  <si>
    <t>Dev Tools</t>
  </si>
  <si>
    <t>Monitoring Tools</t>
  </si>
  <si>
    <t>Project Management Platforms</t>
  </si>
  <si>
    <t>QA Platforms</t>
  </si>
  <si>
    <t>Security Platforms &amp; Services</t>
  </si>
  <si>
    <t>Total for Essential Software</t>
  </si>
  <si>
    <t>Total for Cost of Goods Sold</t>
  </si>
  <si>
    <t>Gross Profit</t>
  </si>
  <si>
    <t>Expenses</t>
  </si>
  <si>
    <t>Accounting Services</t>
  </si>
  <si>
    <t>Advertising &amp; Marketing</t>
  </si>
  <si>
    <t>Bank Charges &amp; Fees</t>
  </si>
  <si>
    <t>Bill Processing Fees</t>
  </si>
  <si>
    <t>Charitable Contributions</t>
  </si>
  <si>
    <t>Depreciation Expense</t>
  </si>
  <si>
    <t>Design Services</t>
  </si>
  <si>
    <t>Hardware</t>
  </si>
  <si>
    <t>HR &amp; Staffing</t>
  </si>
  <si>
    <t>Insurance - Health, Dental, Vision</t>
  </si>
  <si>
    <t>Insurance - Liability</t>
  </si>
  <si>
    <t>Insurance - Workers Comp</t>
  </si>
  <si>
    <t>Internet Service Providers</t>
  </si>
  <si>
    <t>Legal &amp; Professional Services</t>
  </si>
  <si>
    <t>Meals &amp; Entertainment</t>
  </si>
  <si>
    <t>Mobile Data</t>
  </si>
  <si>
    <t>Office Furniture</t>
  </si>
  <si>
    <t>Office Supplies &amp; Software</t>
  </si>
  <si>
    <t>AI Platforms</t>
  </si>
  <si>
    <t>Creative &amp; Production</t>
  </si>
  <si>
    <t>Total for Office Supplies &amp; Software</t>
  </si>
  <si>
    <t>Parking &amp; Tolls</t>
  </si>
  <si>
    <t>Payroll Expenses</t>
  </si>
  <si>
    <t>Employee Wages &amp; Salaries</t>
  </si>
  <si>
    <t>Payroll Processing Fees</t>
  </si>
  <si>
    <t>Payroll Tax Expense</t>
  </si>
  <si>
    <t>Total for Payroll Expenses</t>
  </si>
  <si>
    <t>Promotional Gifts</t>
  </si>
  <si>
    <t>QuickBooks Payments Fees</t>
  </si>
  <si>
    <t>Rent &amp; Lease</t>
  </si>
  <si>
    <t>Repairs &amp; Maintenance</t>
  </si>
  <si>
    <t>Research Tools &amp; Services</t>
  </si>
  <si>
    <t>Shipping</t>
  </si>
  <si>
    <t>Team Wellness</t>
  </si>
  <si>
    <t>Telephone Expense</t>
  </si>
  <si>
    <t>Travel</t>
  </si>
  <si>
    <t>Unapplied Cash Bill Payment Expense</t>
  </si>
  <si>
    <t>Utilities</t>
  </si>
  <si>
    <t>Web Hosting / Cloud</t>
  </si>
  <si>
    <t>Total for Expenses</t>
  </si>
  <si>
    <t>Net Operating Income</t>
  </si>
  <si>
    <t>Other Income</t>
  </si>
  <si>
    <t>Interest Earned</t>
  </si>
  <si>
    <t>Total for Other Income</t>
  </si>
  <si>
    <t>Other Expenses</t>
  </si>
  <si>
    <t>Other Miscellaneous Expense</t>
  </si>
  <si>
    <t>Total for Other Expenses</t>
  </si>
  <si>
    <t>Net Other Income</t>
  </si>
  <si>
    <t>Net Income</t>
  </si>
  <si>
    <t/>
  </si>
  <si>
    <t>Total</t>
  </si>
  <si>
    <t>Cash Basis Wednesday, April 15, 2026 09:50 PM GMTZ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</si>
</sst>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7" formatCode="$#,##0.00"/>
    <numFmt numFmtId="178" formatCode="#,##0.00"/>
  </numFmts>
  <fonts count="9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</border>
    <border>
      <left/>
      <right/>
      <top style="thin">
        <color auto="1"/>
      </top>
      <bottom/>
    </border>
  </borders>
  <cellStyleXfs count="23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1">
      <alignment/>
      <protection/>
    </xf>
    <xf numFmtId="0" fontId="2" fillId="0" borderId="0">
      <alignment/>
      <protection/>
    </xf>
    <xf numFmtId="0" fontId="2" fillId="0" borderId="2">
      <alignment/>
      <protection/>
    </xf>
  </cellStyleXfs>
  <cellXfs count="46">
    <xf numFmtId="0" fontId="0" fillId="0" borderId="0" xfId="0"/>
    <xf numFmtId="0" fontId="2" fillId="0" borderId="0" xfId="0" applyFont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178" fontId="0" fillId="0" borderId="0" xfId="0" applyNumberFormat="1"/>
    <xf numFmtId="178" fontId="3" fillId="0" borderId="0" xfId="0" applyNumberFormat="1" applyFont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77" fontId="0" fillId="0" borderId="0" xfId="0" applyNumberFormat="1"/>
    <xf numFmtId="177" fontId="2" fillId="0" borderId="0" xfId="0" applyNumberFormat="1" applyFont="1"/>
    <xf numFmtId="177" fontId="2" fillId="0" borderId="2" xfId="0" applyNumberFormat="1" applyFont="1" applyBorder="1"/>
    <xf numFmtId="177" fontId="4" fillId="0" borderId="2" xfId="0" applyNumberFormat="1" applyFont="1" applyBorder="1"/>
    <xf numFmtId="0" fontId="3" fillId="0" borderId="0" xfId="0" applyFont="1"/>
    <xf numFmtId="0" fontId="0" fillId="0" borderId="0" xfId="0" applyAlignment="1">
      <alignment horizontal="left" indent="2"/>
    </xf>
    <xf numFmtId="0" fontId="3" fillId="0" borderId="0" xfId="0" applyFont="1" applyAlignment="1">
      <alignment horizontal="left" indent="2"/>
    </xf>
    <xf numFmtId="0" fontId="0" fillId="0" borderId="0" xfId="0" applyAlignment="1">
      <alignment horizontal="left" indent="3"/>
    </xf>
    <xf numFmtId="0" fontId="3" fillId="0" borderId="0" xfId="0" applyFont="1" applyAlignment="1">
      <alignment horizontal="left" indent="3"/>
    </xf>
    <xf numFmtId="0" fontId="2" fillId="0" borderId="0" xfId="0" applyFont="1" applyAlignment="1">
      <alignment horizontal="left" indent="2"/>
    </xf>
    <xf numFmtId="0" fontId="4" fillId="0" borderId="0" xfId="0" applyFont="1" applyAlignment="1">
      <alignment horizontal="left" indent="2"/>
    </xf>
    <xf numFmtId="0" fontId="2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2" fillId="0" borderId="1" xfId="20">
      <alignment/>
      <protection/>
    </xf>
    <xf numFmtId="0" fontId="5" fillId="0" borderId="1" xfId="20" applyFont="1">
      <alignment/>
      <protection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6" fillId="0" borderId="0" xfId="0" applyFont="1" applyAlignment="1">
      <alignment horizontal="center" wrapText="1"/>
    </xf>
    <xf numFmtId="0" fontId="5" fillId="0" borderId="1" xfId="20" applyFont="1" applyAlignment="1">
      <alignment wrapText="1"/>
      <protection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1"/>
    </xf>
    <xf numFmtId="0" fontId="4" fillId="0" borderId="0" xfId="0" applyFont="1" applyAlignment="1">
      <alignment horizontal="left" wrapText="1"/>
    </xf>
    <xf numFmtId="0" fontId="3" fillId="0" borderId="0" xfId="0" applyFont="1" applyAlignment="1">
      <alignment horizontal="left" wrapText="1" indent="2"/>
    </xf>
    <xf numFmtId="0" fontId="3" fillId="0" borderId="0" xfId="0" applyFont="1" applyAlignment="1">
      <alignment horizontal="left" wrapText="1" indent="3"/>
    </xf>
    <xf numFmtId="0" fontId="4" fillId="0" borderId="0" xfId="0" applyFont="1" applyAlignment="1">
      <alignment horizontal="left" wrapText="1" indent="2"/>
    </xf>
    <xf numFmtId="0" fontId="4" fillId="0" borderId="0" xfId="0" applyFont="1" applyAlignment="1">
      <alignment horizontal="left" wrapText="1" indent="1"/>
    </xf>
    <xf numFmtId="0" fontId="0" fillId="0" borderId="0" xfId="0" applyAlignment="1">
      <alignment wrapText="1"/>
    </xf>
    <xf numFmtId="0" fontId="5" fillId="0" borderId="1" xfId="20" applyFont="1" applyBorder="1" applyAlignment="1">
      <alignment wrapText="1"/>
      <protection/>
    </xf>
    <xf numFmtId="0" fontId="5" fillId="0" borderId="1" xfId="20" applyFont="1" applyBorder="1" applyAlignment="1">
      <alignment horizontal="center" wrapText="1"/>
      <protection/>
    </xf>
    <xf numFmtId="178" fontId="3" fillId="0" borderId="0" xfId="0" applyNumberFormat="1" applyFont="1" applyAlignment="1">
      <alignment wrapText="1"/>
    </xf>
    <xf numFmtId="177" fontId="4" fillId="0" borderId="2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wrapText="1"/>
    </xf>
  </cellXfs>
  <cellStyles count="9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HeaderCellStyle" xfId="20"/>
    <cellStyle name="GroupedCellStyle" xfId="21"/>
    <cellStyle name="TotalCellStyle" xfId="2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r="http://schemas.microsoft.com/office/spreadsheetml/2014/revision" xmlns:x14ac="http://schemas.microsoft.com/office/spreadsheetml/2009/9/ac" xmlns:xr2="http://schemas.microsoft.com/office/spreadsheetml/2015/revision2" xmlns:xr3="http://schemas.microsoft.com/office/spreadsheetml/2016/revision3" mc:Ignorable="x14ac xr xr2 xr3" xr:uid="{8D4B3FEF-A70D-B944-82F4-C9836B181100}">
  <dimension ref="A1:B88"/>
  <sheetViews>
    <sheetView tabSelected="1" workbookViewId="0" topLeftCell="A1"/>
  </sheetViews>
  <sheetFormatPr defaultColWidth="11.255" defaultRowHeight="16"/>
  <cols>
    <col min="1" max="1" width="31.625" style="39" customWidth="1"/>
    <col min="2" max="2" width="16.125" style="39" customWidth="1"/>
  </cols>
  <sheetData>
    <row r="1" spans="1:1" ht="16">
      <c r="A1" s="28" t="s">
        <v>0</v>
      </c>
    </row>
    <row r="2" spans="1:1" ht="16">
      <c r="A2" s="29" t="s">
        <v>1</v>
      </c>
    </row>
    <row r="3" spans="1:1" ht="16">
      <c r="A3" s="30" t="s">
        <v>2</v>
      </c>
    </row>
    <row r="5" spans="1:2" ht="16">
      <c r="A5" s="41" t="s">
        <v>81</v>
      </c>
      <c r="B5" s="41" t="s">
        <v>82</v>
      </c>
    </row>
    <row r="6" spans="1:1" ht="16">
      <c r="A6" s="32" t="s">
        <v>3</v>
      </c>
    </row>
    <row r="7" spans="1:2" ht="16">
      <c r="A7" s="33" t="s">
        <v>4</v>
      </c>
      <c r="B7" s="42">
        <v>25033.88</v>
      </c>
    </row>
    <row r="8" spans="1:2" ht="16">
      <c r="A8" s="33" t="s">
        <v>5</v>
      </c>
      <c r="B8" s="42">
        <v>1533362.86</v>
      </c>
    </row>
    <row r="9" spans="1:2" ht="16">
      <c r="A9" s="33" t="s">
        <v>6</v>
      </c>
      <c r="B9" s="42">
        <v>11916.0</v>
      </c>
    </row>
    <row r="10" spans="1:2" ht="16">
      <c r="A10" s="34" t="s">
        <v>7</v>
      </c>
      <c r="B10" s="43">
        <f>B7+B8+B9</f>
        <v>1570312.74</v>
      </c>
    </row>
    <row r="11" spans="1:1" ht="16">
      <c r="A11" s="32" t="s">
        <v>8</v>
      </c>
    </row>
    <row r="12" spans="1:2" ht="16">
      <c r="A12" s="33" t="s">
        <v>9</v>
      </c>
      <c r="B12" s="44"/>
    </row>
    <row r="13" spans="1:2" ht="16">
      <c r="A13" s="35" t="s">
        <v>10</v>
      </c>
      <c r="B13" s="42">
        <v>641481.12</v>
      </c>
    </row>
    <row r="14" spans="1:2" ht="16">
      <c r="A14" s="36" t="s">
        <v>11</v>
      </c>
      <c r="B14" s="42">
        <v>11859.79</v>
      </c>
    </row>
    <row r="15" spans="1:2" ht="16">
      <c r="A15" s="37" t="s">
        <v>12</v>
      </c>
      <c r="B15" s="43">
        <f>B13+B14</f>
        <v>653340.91</v>
      </c>
    </row>
    <row r="16" spans="1:2" ht="16">
      <c r="A16" s="38" t="s">
        <v>13</v>
      </c>
      <c r="B16" s="43">
        <f>B12+B15</f>
        <v>653340.91</v>
      </c>
    </row>
    <row r="17" spans="1:2" ht="16">
      <c r="A17" s="33" t="s">
        <v>14</v>
      </c>
      <c r="B17" s="42">
        <v>6000.0</v>
      </c>
    </row>
    <row r="18" spans="1:2" ht="16">
      <c r="A18" s="35" t="s">
        <v>15</v>
      </c>
      <c r="B18" s="42">
        <v>2173.9</v>
      </c>
    </row>
    <row r="19" spans="1:2" ht="16">
      <c r="A19" s="35" t="s">
        <v>16</v>
      </c>
      <c r="B19" s="42">
        <v>84950.0</v>
      </c>
    </row>
    <row r="20" spans="1:2" ht="16">
      <c r="A20" s="35" t="s">
        <v>17</v>
      </c>
      <c r="B20" s="42">
        <v>308141.2</v>
      </c>
    </row>
    <row r="21" spans="1:2" ht="16">
      <c r="A21" s="35" t="s">
        <v>18</v>
      </c>
      <c r="B21" s="42">
        <v>88438.25</v>
      </c>
    </row>
    <row r="22" spans="1:2" ht="16">
      <c r="A22" s="38" t="s">
        <v>19</v>
      </c>
      <c r="B22" s="43">
        <f>B17+B18+B19+B20+B21</f>
        <v>489703.35</v>
      </c>
    </row>
    <row r="23" spans="1:2" ht="16">
      <c r="A23" s="33" t="s">
        <v>20</v>
      </c>
      <c r="B23" s="42">
        <v>5184.31</v>
      </c>
    </row>
    <row r="24" spans="1:2" ht="16">
      <c r="A24" s="35" t="s">
        <v>21</v>
      </c>
      <c r="B24" s="42">
        <v>8140.01</v>
      </c>
    </row>
    <row r="25" spans="1:2" ht="16">
      <c r="A25" s="35" t="s">
        <v>22</v>
      </c>
      <c r="B25" s="42">
        <v>3733.21</v>
      </c>
    </row>
    <row r="26" spans="1:2" ht="16">
      <c r="A26" s="35" t="s">
        <v>23</v>
      </c>
      <c r="B26" s="42">
        <v>1140.0</v>
      </c>
    </row>
    <row r="27" spans="1:2" ht="16">
      <c r="A27" s="35" t="s">
        <v>24</v>
      </c>
      <c r="B27" s="42">
        <v>642.0</v>
      </c>
    </row>
    <row r="28" spans="1:2" ht="16">
      <c r="A28" s="35" t="s">
        <v>25</v>
      </c>
      <c r="B28" s="42">
        <v>6128.71</v>
      </c>
    </row>
    <row r="29" spans="1:2" ht="16">
      <c r="A29" s="35" t="s">
        <v>26</v>
      </c>
      <c r="B29" s="42">
        <v>788.0</v>
      </c>
    </row>
    <row r="30" spans="1:2" ht="16">
      <c r="A30" s="35" t="s">
        <v>27</v>
      </c>
      <c r="B30" s="42">
        <v>864.03</v>
      </c>
    </row>
    <row r="31" spans="1:2" ht="16">
      <c r="A31" s="38" t="s">
        <v>28</v>
      </c>
      <c r="B31" s="43">
        <f>B23+B24+B25+B26+B27+B28+B29+B30</f>
        <v>26620.269999999997</v>
      </c>
    </row>
    <row r="32" spans="1:2" ht="16">
      <c r="A32" s="34" t="s">
        <v>29</v>
      </c>
      <c r="B32" s="43">
        <f>B16+B22+B31</f>
        <v>1169664.53</v>
      </c>
    </row>
    <row r="33" spans="1:2" ht="16">
      <c r="A33" s="34" t="s">
        <v>30</v>
      </c>
      <c r="B33" s="43">
        <f>B10-B32</f>
        <v>400648.20999999996</v>
      </c>
    </row>
    <row r="34" spans="1:1" ht="16">
      <c r="A34" s="32" t="s">
        <v>31</v>
      </c>
    </row>
    <row r="35" spans="1:2" ht="16">
      <c r="A35" s="33" t="s">
        <v>32</v>
      </c>
      <c r="B35" s="42">
        <v>4198.59</v>
      </c>
    </row>
    <row r="36" spans="1:2" ht="16">
      <c r="A36" s="33" t="s">
        <v>33</v>
      </c>
      <c r="B36" s="42">
        <v>806.4</v>
      </c>
    </row>
    <row r="37" spans="1:2" ht="16">
      <c r="A37" s="33" t="s">
        <v>34</v>
      </c>
      <c r="B37" s="42">
        <v>1571.47</v>
      </c>
    </row>
    <row r="38" spans="1:2" ht="16">
      <c r="A38" s="33" t="s">
        <v>35</v>
      </c>
      <c r="B38" s="42">
        <v>3228.16</v>
      </c>
    </row>
    <row r="39" spans="1:2" ht="16">
      <c r="A39" s="33" t="s">
        <v>36</v>
      </c>
      <c r="B39" s="42">
        <v>1313.98</v>
      </c>
    </row>
    <row r="40" spans="1:2" ht="16">
      <c r="A40" s="33" t="s">
        <v>37</v>
      </c>
      <c r="B40" s="42">
        <v>3456.63</v>
      </c>
    </row>
    <row r="41" spans="1:2" ht="16">
      <c r="A41" s="33" t="s">
        <v>38</v>
      </c>
      <c r="B41" s="42">
        <v>230.07</v>
      </c>
    </row>
    <row r="42" spans="1:2" ht="16">
      <c r="A42" s="33" t="s">
        <v>39</v>
      </c>
      <c r="B42" s="42">
        <v>4442.51</v>
      </c>
    </row>
    <row r="43" spans="1:2" ht="16">
      <c r="A43" s="33" t="s">
        <v>40</v>
      </c>
      <c r="B43" s="42">
        <v>1556.51</v>
      </c>
    </row>
    <row r="44" spans="1:2" ht="16">
      <c r="A44" s="33" t="s">
        <v>41</v>
      </c>
      <c r="B44" s="42">
        <v>10594.0</v>
      </c>
    </row>
    <row r="45" spans="1:2" ht="16">
      <c r="A45" s="33" t="s">
        <v>42</v>
      </c>
      <c r="B45" s="42">
        <v>5529.32</v>
      </c>
    </row>
    <row r="46" spans="1:2" ht="16">
      <c r="A46" s="33" t="s">
        <v>43</v>
      </c>
      <c r="B46" s="42">
        <v>367.09</v>
      </c>
    </row>
    <row r="47" spans="1:2" ht="16">
      <c r="A47" s="33" t="s">
        <v>44</v>
      </c>
      <c r="B47" s="42">
        <v>1925.25</v>
      </c>
    </row>
    <row r="48" spans="1:2" ht="16">
      <c r="A48" s="33" t="s">
        <v>45</v>
      </c>
      <c r="B48" s="42">
        <v>1400.0</v>
      </c>
    </row>
    <row r="49" spans="1:2" ht="16">
      <c r="A49" s="33" t="s">
        <v>46</v>
      </c>
      <c r="B49" s="42">
        <v>19405.96</v>
      </c>
    </row>
    <row r="50" spans="1:2" ht="16">
      <c r="A50" s="33" t="s">
        <v>47</v>
      </c>
      <c r="B50" s="42">
        <v>717.32</v>
      </c>
    </row>
    <row r="51" spans="1:2" ht="16">
      <c r="A51" s="33" t="s">
        <v>48</v>
      </c>
      <c r="B51" s="42">
        <v>114.46</v>
      </c>
    </row>
    <row r="52" spans="1:2" ht="16">
      <c r="A52" s="33" t="s">
        <v>49</v>
      </c>
      <c r="B52" s="42">
        <v>11001.03</v>
      </c>
    </row>
    <row r="53" spans="1:2" ht="16">
      <c r="A53" s="35" t="s">
        <v>50</v>
      </c>
      <c r="B53" s="42">
        <v>1011.72</v>
      </c>
    </row>
    <row r="54" spans="1:2" ht="16">
      <c r="A54" s="35" t="s">
        <v>51</v>
      </c>
      <c r="B54" s="42">
        <v>4101.64</v>
      </c>
    </row>
    <row r="55" spans="1:2" ht="16">
      <c r="A55" s="38" t="s">
        <v>52</v>
      </c>
      <c r="B55" s="43">
        <f>B52+B53+B54</f>
        <v>16114.39</v>
      </c>
    </row>
    <row r="56" spans="1:2" ht="16">
      <c r="A56" s="33" t="s">
        <v>53</v>
      </c>
      <c r="B56" s="42">
        <v>405.55</v>
      </c>
    </row>
    <row r="57" spans="1:2" ht="16">
      <c r="A57" s="33" t="s">
        <v>54</v>
      </c>
      <c r="B57" s="44"/>
    </row>
    <row r="58" spans="1:2" ht="16">
      <c r="A58" s="35" t="s">
        <v>55</v>
      </c>
      <c r="B58" s="42">
        <v>50434.68</v>
      </c>
    </row>
    <row r="59" spans="1:2" ht="16">
      <c r="A59" s="35" t="s">
        <v>56</v>
      </c>
      <c r="B59" s="42">
        <v>1698.0</v>
      </c>
    </row>
    <row r="60" spans="1:2" ht="16">
      <c r="A60" s="35" t="s">
        <v>57</v>
      </c>
      <c r="B60" s="42">
        <v>51873.32</v>
      </c>
    </row>
    <row r="61" spans="1:2" ht="16">
      <c r="A61" s="38" t="s">
        <v>58</v>
      </c>
      <c r="B61" s="43">
        <f>B57+B58+B59+B60</f>
        <v>104006.0</v>
      </c>
    </row>
    <row r="62" spans="1:2" ht="16">
      <c r="A62" s="33" t="s">
        <v>59</v>
      </c>
      <c r="B62" s="42">
        <v>3314.02</v>
      </c>
    </row>
    <row r="63" spans="1:2" ht="16">
      <c r="A63" s="33" t="s">
        <v>60</v>
      </c>
      <c r="B63" s="42">
        <v>280.29</v>
      </c>
    </row>
    <row r="64" spans="1:2" ht="16">
      <c r="A64" s="33" t="s">
        <v>61</v>
      </c>
      <c r="B64" s="42">
        <v>32346.99</v>
      </c>
    </row>
    <row r="65" spans="1:2" ht="16">
      <c r="A65" s="33" t="s">
        <v>62</v>
      </c>
      <c r="B65" s="42">
        <v>1300.0</v>
      </c>
    </row>
    <row r="66" spans="1:2" ht="16">
      <c r="A66" s="33" t="s">
        <v>63</v>
      </c>
      <c r="B66" s="42">
        <v>900.0</v>
      </c>
    </row>
    <row r="67" spans="1:2" ht="16">
      <c r="A67" s="33" t="s">
        <v>64</v>
      </c>
      <c r="B67" s="42">
        <v>63.46</v>
      </c>
    </row>
    <row r="68" spans="1:2" ht="16">
      <c r="A68" s="33" t="s">
        <v>65</v>
      </c>
      <c r="B68" s="42">
        <v>450.0</v>
      </c>
    </row>
    <row r="69" spans="1:2" ht="16">
      <c r="A69" s="33" t="s">
        <v>66</v>
      </c>
      <c r="B69" s="42">
        <v>1000.72</v>
      </c>
    </row>
    <row r="70" spans="1:2" ht="16">
      <c r="A70" s="33" t="s">
        <v>67</v>
      </c>
      <c r="B70" s="42">
        <v>55653.69</v>
      </c>
    </row>
    <row r="71" spans="1:2" ht="16">
      <c r="A71" s="33" t="s">
        <v>68</v>
      </c>
      <c r="B71" s="42">
        <v>0</v>
      </c>
    </row>
    <row r="72" spans="1:2" ht="16">
      <c r="A72" s="33" t="s">
        <v>69</v>
      </c>
      <c r="B72" s="42">
        <v>702.17</v>
      </c>
    </row>
    <row r="73" spans="1:2" ht="16">
      <c r="A73" s="33" t="s">
        <v>70</v>
      </c>
      <c r="B73" s="42">
        <v>11206.34</v>
      </c>
    </row>
    <row r="74" spans="1:2" ht="16">
      <c r="A74" s="34" t="s">
        <v>71</v>
      </c>
      <c r="B74" s="43">
        <f>B35+B36+B37+B38+B39+B40+B41+B42+B43+B44+B45+B46+B47+B48+B49+B50+B51+B55+B56+B61+B62+B63+B64+B65+B66+B67+B68+B69+B70+B71+B72+B73</f>
        <v>288601.33999999997</v>
      </c>
    </row>
    <row r="75" spans="1:2" ht="16">
      <c r="A75" s="34" t="s">
        <v>72</v>
      </c>
      <c r="B75" s="43">
        <f>B33-B74</f>
        <v>112046.87</v>
      </c>
    </row>
    <row r="76" spans="1:1" ht="16">
      <c r="A76" s="32" t="s">
        <v>73</v>
      </c>
    </row>
    <row r="77" spans="1:2" ht="16">
      <c r="A77" s="33" t="s">
        <v>74</v>
      </c>
      <c r="B77" s="42">
        <v>2.43</v>
      </c>
    </row>
    <row r="78" spans="1:2" ht="16">
      <c r="A78" s="33" t="s">
        <v>73</v>
      </c>
      <c r="B78" s="42">
        <v>60.48</v>
      </c>
    </row>
    <row r="79" spans="1:2" ht="16">
      <c r="A79" s="34" t="s">
        <v>75</v>
      </c>
      <c r="B79" s="43">
        <f>B77+B78</f>
        <v>62.91</v>
      </c>
    </row>
    <row r="80" spans="1:1" ht="16">
      <c r="A80" s="32" t="s">
        <v>76</v>
      </c>
    </row>
    <row r="81" spans="1:2" ht="16">
      <c r="A81" s="33" t="s">
        <v>77</v>
      </c>
      <c r="B81" s="42">
        <v>99.98</v>
      </c>
    </row>
    <row r="82" spans="1:2" ht="16">
      <c r="A82" s="34" t="s">
        <v>78</v>
      </c>
      <c r="B82" s="43">
        <f>B81</f>
        <v>99.98</v>
      </c>
    </row>
    <row r="83" spans="1:2" ht="16">
      <c r="A83" s="34" t="s">
        <v>79</v>
      </c>
      <c r="B83" s="43">
        <f>B79-B82</f>
        <v>-37.07000000000001</v>
      </c>
    </row>
    <row r="84" spans="1:2" ht="16">
      <c r="A84" s="34" t="s">
        <v>80</v>
      </c>
      <c r="B84" s="43">
        <f>B75+B83</f>
        <v>112009.79999999999</v>
      </c>
    </row>
    <row r="88" spans="1:1" ht="16">
      <c r="A88" s="45" t="s">
        <v>83</v>
      </c>
    </row>
  </sheetData>
  <mergeCells count="4">
    <mergeCell ref="A1:B1"/>
    <mergeCell ref="A2:B2"/>
    <mergeCell ref="A3:B3"/>
    <mergeCell ref="A88:B88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dcterms:created xsi:type="dcterms:W3CDTF">2022-03-24T08:55:57Z</dcterms:created>
  <dcterms:modified xsi:type="dcterms:W3CDTF">2022-03-30T09:41:57Z</dcterms:modified>
  <cp:category/>
</cp:coreProperties>
</file>